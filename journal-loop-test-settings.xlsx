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參數設定" sheetId="1" state="visible" r:id="rId3"/>
    <sheet name="測試稿預期結果" sheetId="2" state="visible" r:id="rId4"/>
    <sheet name="通過標準" sheetId="3" state="visible" r:id="rId5"/>
    <sheet name="補件版驗證清單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<sst xmlns="http://schemas.openxmlformats.org/spreadsheetml/2006/main" count="80" uniqueCount="79">
  <si>
    <t xml:space="preserve">測試參數設定：輪數上限與需連續通過輪數</t>
  </si>
  <si>
    <t xml:space="preserve">藍字為可修改的設定值；黑字為公式，會自動計算。黃底列為自訂設定，請在該列輸入。</t>
  </si>
  <si>
    <t xml:space="preserve">用途</t>
  </si>
  <si>
    <t xml:space="preserve">輪數上限</t>
  </si>
  <si>
    <t xml:space="preserve">需連續通過輪數</t>
  </si>
  <si>
    <t xml:space="preserve">設定是否有效</t>
  </si>
  <si>
    <t xml:space="preserve">最多修稿次數</t>
  </si>
  <si>
    <t xml:space="preserve">最多模型呼叫次數</t>
  </si>
  <si>
    <t xml:space="preserve">說明</t>
  </si>
  <si>
    <t xml:space="preserve">測試流程（現在）</t>
  </si>
  <si>
    <t xml:space="preserve">最省費用，能走到「審查 → 修稿 → 再審查」一圈。</t>
  </si>
  <si>
    <t xml:space="preserve">正式使用</t>
  </si>
  <si>
    <r>
      <rPr>
        <sz val="11"/>
        <rFont val="Noto Sans CJK SC"/>
        <family val="2"/>
      </rPr>
      <t xml:space="preserve">依 </t>
    </r>
    <r>
      <rPr>
        <sz val="11"/>
        <rFont val="Arial"/>
        <family val="0"/>
        <charset val="1"/>
      </rPr>
      <t xml:space="preserve">rubric </t>
    </r>
    <r>
      <rPr>
        <sz val="11"/>
        <rFont val="Noto Sans CJK SC"/>
        <family val="2"/>
      </rPr>
      <t xml:space="preserve">預設；兩輪連續達標較可靠，避免審查者一時給高分。</t>
    </r>
  </si>
  <si>
    <t xml:space="preserve">只想看第一輪意見</t>
  </si>
  <si>
    <t xml:space="preserve">只審查，不修稿。</t>
  </si>
  <si>
    <t xml:space="preserve">自訂設定</t>
  </si>
  <si>
    <t xml:space="preserve">請在此列輸入想嘗試的數值（藍字）。</t>
  </si>
  <si>
    <t xml:space="preserve">計算假設</t>
  </si>
  <si>
    <t xml:space="preserve">每輪審查的模型呼叫數</t>
  </si>
  <si>
    <t xml:space="preserve">兩位審查者各呼叫一次。</t>
  </si>
  <si>
    <t xml:space="preserve">每次修稿的模型呼叫數</t>
  </si>
  <si>
    <r>
      <rPr>
        <sz val="11"/>
        <rFont val="Arial"/>
        <family val="0"/>
        <charset val="1"/>
      </rPr>
      <t xml:space="preserve">Claude </t>
    </r>
    <r>
      <rPr>
        <sz val="11"/>
        <rFont val="Noto Sans CJK SC"/>
        <family val="2"/>
      </rPr>
      <t xml:space="preserve">修稿呼叫一次。</t>
    </r>
  </si>
  <si>
    <r>
      <rPr>
        <i val="true"/>
        <sz val="10"/>
        <color rgb="FF595959"/>
        <rFont val="Noto Sans CJK SC"/>
        <family val="2"/>
      </rPr>
      <t xml:space="preserve">說明：審查 → 判斷 → 才修稿，所以 </t>
    </r>
    <r>
      <rPr>
        <i val="true"/>
        <sz val="10"/>
        <color rgb="FF595959"/>
        <rFont val="Arial"/>
        <family val="0"/>
        <charset val="1"/>
      </rPr>
      <t xml:space="preserve">N </t>
    </r>
    <r>
      <rPr>
        <i val="true"/>
        <sz val="10"/>
        <color rgb="FF595959"/>
        <rFont val="Noto Sans CJK SC"/>
        <family val="2"/>
      </rPr>
      <t xml:space="preserve">輪上限最多審查 </t>
    </r>
    <r>
      <rPr>
        <i val="true"/>
        <sz val="10"/>
        <color rgb="FF595959"/>
        <rFont val="Arial"/>
        <family val="0"/>
        <charset val="1"/>
      </rPr>
      <t xml:space="preserve">N </t>
    </r>
    <r>
      <rPr>
        <i val="true"/>
        <sz val="10"/>
        <color rgb="FF595959"/>
        <rFont val="Noto Sans CJK SC"/>
        <family val="2"/>
      </rPr>
      <t xml:space="preserve">次、修稿 </t>
    </r>
    <r>
      <rPr>
        <i val="true"/>
        <sz val="10"/>
        <color rgb="FF595959"/>
        <rFont val="Arial"/>
        <family val="0"/>
        <charset val="1"/>
      </rPr>
      <t xml:space="preserve">N-1 </t>
    </r>
    <r>
      <rPr>
        <i val="true"/>
        <sz val="10"/>
        <color rgb="FF595959"/>
        <rFont val="Noto Sans CJK SC"/>
        <family val="2"/>
      </rPr>
      <t xml:space="preserve">次；「最多模型呼叫次數」是上限，提早停止時會更少。這是依本流程設計推算，未含失敗重試。</t>
    </r>
  </si>
  <si>
    <r>
      <rPr>
        <b val="true"/>
        <sz val="14"/>
        <rFont val="Noto Sans CJK SC"/>
        <family val="2"/>
      </rPr>
      <t xml:space="preserve">以 </t>
    </r>
    <r>
      <rPr>
        <b val="true"/>
        <sz val="14"/>
        <rFont val="Arial"/>
        <family val="0"/>
        <charset val="1"/>
      </rPr>
      <t xml:space="preserve">(2, 1) </t>
    </r>
    <r>
      <rPr>
        <b val="true"/>
        <sz val="14"/>
        <rFont val="Noto Sans CJK SC"/>
        <family val="2"/>
      </rPr>
      <t xml:space="preserve">測試埋缺陷版測試稿的預期結果</t>
    </r>
  </si>
  <si>
    <t xml:space="preserve">項目</t>
  </si>
  <si>
    <t xml:space="preserve">預期結果</t>
  </si>
  <si>
    <t xml:space="preserve">原因</t>
  </si>
  <si>
    <r>
      <rPr>
        <sz val="11"/>
        <rFont val="Noto Sans CJK SC"/>
        <family val="2"/>
      </rPr>
      <t xml:space="preserve">第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輪是否停止</t>
    </r>
  </si>
  <si>
    <t xml:space="preserve">多半停止</t>
  </si>
  <si>
    <r>
      <rPr>
        <sz val="11"/>
        <rFont val="Noto Sans CJK SC"/>
        <family val="2"/>
      </rPr>
      <t xml:space="preserve">修稿者會再次建議交由人工處理（缺 </t>
    </r>
    <r>
      <rPr>
        <sz val="11"/>
        <rFont val="Arial"/>
        <family val="0"/>
        <charset val="1"/>
      </rPr>
      <t xml:space="preserve">IRB </t>
    </r>
    <r>
      <rPr>
        <sz val="11"/>
        <rFont val="Noto Sans CJK SC"/>
        <family val="2"/>
      </rPr>
      <t xml:space="preserve">案號、樣本流失原因等必須由作者提供的事實）。</t>
    </r>
  </si>
  <si>
    <t xml:space="preserve">停止原因顯示</t>
  </si>
  <si>
    <t xml:space="preserve">修稿者建議交由人工處理</t>
  </si>
  <si>
    <t xml:space="preserve">這是正常行為，不是設定錯誤。</t>
  </si>
  <si>
    <t xml:space="preserve">最終稿件</t>
  </si>
  <si>
    <t xml:space="preserve">應為修訂後版本</t>
  </si>
  <si>
    <t xml:space="preserve">更新程式碼節點 ⑦ 之後，軟警示不再作廢修訂稿。</t>
  </si>
  <si>
    <r>
      <rPr>
        <sz val="11"/>
        <rFont val="Noto Sans CJK SC"/>
        <family val="2"/>
      </rPr>
      <t xml:space="preserve">是否走到第 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輪</t>
    </r>
  </si>
  <si>
    <t xml:space="preserve">可能不會</t>
  </si>
  <si>
    <r>
      <rPr>
        <sz val="11"/>
        <rFont val="Noto Sans CJK SC"/>
        <family val="2"/>
      </rPr>
      <t xml:space="preserve">第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輪若無硬失敗與軟警示才會繼續；本測試稿缺漏事實，通常會在第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輪停止。</t>
    </r>
  </si>
  <si>
    <t xml:space="preserve">是否達到通過</t>
  </si>
  <si>
    <t xml:space="preserve">不太可能</t>
  </si>
  <si>
    <r>
      <rPr>
        <sz val="11"/>
        <rFont val="Noto Sans CJK SC"/>
        <family val="2"/>
      </rPr>
      <t xml:space="preserve">需兩位審查者皆 </t>
    </r>
    <r>
      <rPr>
        <sz val="11"/>
        <rFont val="Arial"/>
        <family val="0"/>
        <charset val="1"/>
      </rPr>
      <t xml:space="preserve">accept </t>
    </r>
    <r>
      <rPr>
        <sz val="11"/>
        <rFont val="Noto Sans CJK SC"/>
        <family val="2"/>
      </rPr>
      <t xml:space="preserve">或 </t>
    </r>
    <r>
      <rPr>
        <sz val="11"/>
        <rFont val="Arial"/>
        <family val="0"/>
        <charset val="1"/>
      </rPr>
      <t xml:space="preserve">minor</t>
    </r>
    <r>
      <rPr>
        <sz val="11"/>
        <rFont val="Noto Sans CJK SC"/>
        <family val="2"/>
      </rPr>
      <t xml:space="preserve">，且無未解決的 </t>
    </r>
    <r>
      <rPr>
        <sz val="11"/>
        <rFont val="Arial"/>
        <family val="0"/>
        <charset val="1"/>
      </rPr>
      <t xml:space="preserve">critical </t>
    </r>
    <r>
      <rPr>
        <sz val="11"/>
        <rFont val="Noto Sans CJK SC"/>
        <family val="2"/>
      </rPr>
      <t xml:space="preserve">與 </t>
    </r>
    <r>
      <rPr>
        <sz val="11"/>
        <rFont val="Arial"/>
        <family val="0"/>
        <charset val="1"/>
      </rPr>
      <t xml:space="preserve">major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</si>
  <si>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若走到第 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輪</t>
    </r>
  </si>
  <si>
    <r>
      <rPr>
        <sz val="11"/>
        <rFont val="Noto Sans CJK SC"/>
        <family val="2"/>
      </rPr>
      <t xml:space="preserve">多半為 </t>
    </r>
    <r>
      <rPr>
        <sz val="11"/>
        <rFont val="Arial"/>
        <family val="0"/>
        <charset val="1"/>
      </rPr>
      <t xml:space="preserve">stop_limit</t>
    </r>
  </si>
  <si>
    <r>
      <rPr>
        <sz val="11"/>
        <rFont val="Noto Sans CJK SC"/>
        <family val="2"/>
      </rPr>
      <t xml:space="preserve">輪數上限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，通過條件嚴格。</t>
    </r>
  </si>
  <si>
    <r>
      <rPr>
        <b val="true"/>
        <sz val="14"/>
        <rFont val="Noto Sans CJK SC"/>
        <family val="2"/>
      </rPr>
      <t xml:space="preserve">判定通過（</t>
    </r>
    <r>
      <rPr>
        <b val="true"/>
        <sz val="14"/>
        <rFont val="Arial"/>
        <family val="0"/>
        <charset val="1"/>
      </rPr>
      <t xml:space="preserve">stop_pass</t>
    </r>
    <r>
      <rPr>
        <b val="true"/>
        <sz val="14"/>
        <rFont val="Noto Sans CJK SC"/>
        <family val="2"/>
      </rPr>
      <t xml:space="preserve">）需同時成立的條件</t>
    </r>
  </si>
  <si>
    <t xml:space="preserve">#</t>
  </si>
  <si>
    <t xml:space="preserve">條件</t>
  </si>
  <si>
    <t xml:space="preserve">來源</t>
  </si>
  <si>
    <r>
      <rPr>
        <sz val="11"/>
        <rFont val="Noto Sans CJK SC"/>
        <family val="2"/>
      </rPr>
      <t xml:space="preserve">兩位審查者的 </t>
    </r>
    <r>
      <rPr>
        <sz val="11"/>
        <rFont val="Arial"/>
        <family val="0"/>
        <charset val="1"/>
      </rPr>
      <t xml:space="preserve">verdict </t>
    </r>
    <r>
      <rPr>
        <sz val="11"/>
        <rFont val="Noto Sans CJK SC"/>
        <family val="2"/>
      </rPr>
      <t xml:space="preserve">皆為 </t>
    </r>
    <r>
      <rPr>
        <sz val="11"/>
        <rFont val="Arial"/>
        <family val="0"/>
        <charset val="1"/>
      </rPr>
      <t xml:space="preserve">accept </t>
    </r>
    <r>
      <rPr>
        <sz val="11"/>
        <rFont val="Noto Sans CJK SC"/>
        <family val="2"/>
      </rPr>
      <t xml:space="preserve">或 </t>
    </r>
    <r>
      <rPr>
        <sz val="11"/>
        <rFont val="Arial"/>
        <family val="0"/>
        <charset val="1"/>
      </rPr>
      <t xml:space="preserve">minor</t>
    </r>
  </si>
  <si>
    <r>
      <rPr>
        <sz val="11"/>
        <rFont val="Arial"/>
        <family val="0"/>
        <charset val="1"/>
      </rPr>
      <t xml:space="preserve">review-rubric.md </t>
    </r>
    <r>
      <rPr>
        <sz val="11"/>
        <rFont val="Noto Sans CJK SC"/>
        <family val="2"/>
      </rPr>
      <t xml:space="preserve">第五節</t>
    </r>
  </si>
  <si>
    <r>
      <rPr>
        <sz val="11"/>
        <rFont val="Noto Sans CJK SC"/>
        <family val="2"/>
      </rPr>
      <t xml:space="preserve">兩位審查者合計無未解決的 </t>
    </r>
    <r>
      <rPr>
        <sz val="11"/>
        <rFont val="Arial"/>
        <family val="0"/>
        <charset val="1"/>
      </rPr>
      <t xml:space="preserve">critical </t>
    </r>
    <r>
      <rPr>
        <sz val="11"/>
        <rFont val="Noto Sans CJK SC"/>
        <family val="2"/>
      </rPr>
      <t xml:space="preserve">與 </t>
    </r>
    <r>
      <rPr>
        <sz val="11"/>
        <rFont val="Arial"/>
        <family val="0"/>
        <charset val="1"/>
      </rPr>
      <t xml:space="preserve">major </t>
    </r>
    <r>
      <rPr>
        <sz val="11"/>
        <rFont val="Noto Sans CJK SC"/>
        <family val="2"/>
      </rPr>
      <t xml:space="preserve">意見</t>
    </r>
  </si>
  <si>
    <r>
      <rPr>
        <sz val="11"/>
        <rFont val="Arial"/>
        <family val="0"/>
        <charset val="1"/>
      </rPr>
      <t xml:space="preserve">review-rubric.md </t>
    </r>
    <r>
      <rPr>
        <sz val="11"/>
        <rFont val="Noto Sans CJK SC"/>
        <family val="2"/>
      </rPr>
      <t xml:space="preserve">第五節；程式碼節點 ③</t>
    </r>
  </si>
  <si>
    <t xml:space="preserve">連續通過輪數達到「需連續通過輪數」</t>
  </si>
  <si>
    <t xml:space="preserve">開始表單設定</t>
  </si>
  <si>
    <r>
      <rPr>
        <sz val="11"/>
        <rFont val="Noto Sans CJK SC"/>
        <family val="2"/>
      </rPr>
      <t xml:space="preserve">兩位審查者無過大分歧（任一面向差 ≥ 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分，或 </t>
    </r>
    <r>
      <rPr>
        <sz val="11"/>
        <rFont val="Arial"/>
        <family val="0"/>
        <charset val="1"/>
      </rPr>
      <t xml:space="preserve">verdict </t>
    </r>
    <r>
      <rPr>
        <sz val="11"/>
        <rFont val="Noto Sans CJK SC"/>
        <family val="2"/>
      </rPr>
      <t xml:space="preserve">差 ≥ 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級會停止並交人工）</t>
    </r>
  </si>
  <si>
    <t xml:space="preserve">程式碼節點 ③</t>
  </si>
  <si>
    <r>
      <rPr>
        <b val="true"/>
        <sz val="14"/>
        <rFont val="Noto Sans CJK SC"/>
        <family val="2"/>
      </rPr>
      <t xml:space="preserve">補件版測試稿的驗證清單（想真正測到第 </t>
    </r>
    <r>
      <rPr>
        <b val="true"/>
        <sz val="14"/>
        <rFont val="Arial"/>
        <family val="0"/>
        <charset val="1"/>
      </rPr>
      <t xml:space="preserve">2 </t>
    </r>
    <r>
      <rPr>
        <b val="true"/>
        <sz val="14"/>
        <rFont val="Noto Sans CJK SC"/>
        <family val="2"/>
      </rPr>
      <t xml:space="preserve">輪時使用）</t>
    </r>
  </si>
  <si>
    <t xml:space="preserve">「結果」欄與「備註」欄請自行填寫；範例列僅示範格式。</t>
  </si>
  <si>
    <t xml:space="preserve">驗證項目</t>
  </si>
  <si>
    <t xml:space="preserve">預期</t>
  </si>
  <si>
    <t xml:space="preserve">結果</t>
  </si>
  <si>
    <t xml:space="preserve">備註</t>
  </si>
  <si>
    <r>
      <rPr>
        <sz val="11"/>
        <rFont val="Noto Sans CJK SC"/>
        <family val="2"/>
      </rPr>
      <t xml:space="preserve">第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輪的意見是否被標為 </t>
    </r>
    <r>
      <rPr>
        <sz val="11"/>
        <rFont val="Arial"/>
        <family val="0"/>
        <charset val="1"/>
      </rPr>
      <t xml:space="preserve">resolved </t>
    </r>
    <r>
      <rPr>
        <sz val="11"/>
        <rFont val="Noto Sans CJK SC"/>
        <family val="2"/>
      </rPr>
      <t xml:space="preserve">或 </t>
    </r>
    <r>
      <rPr>
        <sz val="11"/>
        <rFont val="Arial"/>
        <family val="0"/>
        <charset val="1"/>
      </rPr>
      <t xml:space="preserve">unresolved</t>
    </r>
  </si>
  <si>
    <r>
      <rPr>
        <sz val="11"/>
        <rFont val="Noto Sans CJK SC"/>
        <family val="2"/>
      </rPr>
      <t xml:space="preserve">第 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輪審查沿用原 </t>
    </r>
    <r>
      <rPr>
        <sz val="11"/>
        <rFont val="Arial"/>
        <family val="0"/>
        <charset val="1"/>
      </rPr>
      <t xml:space="preserve">id </t>
    </r>
    <r>
      <rPr>
        <sz val="11"/>
        <rFont val="Noto Sans CJK SC"/>
        <family val="2"/>
      </rPr>
      <t xml:space="preserve">並標示狀態</t>
    </r>
  </si>
  <si>
    <t xml:space="preserve">（範例）通過</t>
  </si>
  <si>
    <r>
      <rPr>
        <sz val="11"/>
        <color rgb="FF0000FF"/>
        <rFont val="Noto Sans CJK SC"/>
        <family val="2"/>
      </rPr>
      <t xml:space="preserve">（範例）</t>
    </r>
    <r>
      <rPr>
        <sz val="11"/>
        <color rgb="FF0000FF"/>
        <rFont val="Arial"/>
        <family val="0"/>
        <charset val="1"/>
      </rPr>
      <t xml:space="preserve">P-R1-03 </t>
    </r>
    <r>
      <rPr>
        <sz val="11"/>
        <color rgb="FF0000FF"/>
        <rFont val="Noto Sans CJK SC"/>
        <family val="2"/>
      </rPr>
      <t xml:space="preserve">標為 </t>
    </r>
    <r>
      <rPr>
        <sz val="11"/>
        <color rgb="FF0000FF"/>
        <rFont val="Arial"/>
        <family val="0"/>
        <charset val="1"/>
      </rPr>
      <t xml:space="preserve">resolved</t>
    </r>
  </si>
  <si>
    <t xml:space="preserve">審查者有無為湊意見而翻盤</t>
  </si>
  <si>
    <t xml:space="preserve">不重提已解決的議題</t>
  </si>
  <si>
    <t xml:space="preserve">分數是否逐輪進步</t>
  </si>
  <si>
    <r>
      <rPr>
        <sz val="11"/>
        <rFont val="Arial"/>
        <family val="0"/>
        <charset val="1"/>
      </rPr>
      <t xml:space="preserve">history </t>
    </r>
    <r>
      <rPr>
        <sz val="11"/>
        <rFont val="Noto Sans CJK SC"/>
        <family val="2"/>
      </rPr>
      <t xml:space="preserve">中第 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輪綜合分數高於第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輪</t>
    </r>
  </si>
  <si>
    <t xml:space="preserve">停止條件是否正確觸發</t>
  </si>
  <si>
    <t xml:space="preserve">依輪數、通過、停滯、分歧規則判斷</t>
  </si>
  <si>
    <t xml:space="preserve">鎖定區塊是否保持原樣</t>
  </si>
  <si>
    <r>
      <rPr>
        <sz val="11"/>
        <rFont val="Noto Sans CJK SC"/>
        <family val="2"/>
      </rPr>
      <t xml:space="preserve">表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逐字不變，</t>
    </r>
    <r>
      <rPr>
        <sz val="11"/>
        <rFont val="Arial"/>
        <family val="0"/>
        <charset val="1"/>
      </rPr>
      <t xml:space="preserve">last_flags </t>
    </r>
    <r>
      <rPr>
        <sz val="11"/>
        <rFont val="Noto Sans CJK SC"/>
        <family val="2"/>
      </rPr>
      <t xml:space="preserve">無鎖定區塊警示</t>
    </r>
  </si>
  <si>
    <t xml:space="preserve">修稿者是否未編造事實</t>
  </si>
  <si>
    <r>
      <rPr>
        <sz val="11"/>
        <rFont val="Arial"/>
        <family val="0"/>
        <charset val="1"/>
      </rPr>
      <t xml:space="preserve">IRB</t>
    </r>
    <r>
      <rPr>
        <sz val="11"/>
        <rFont val="Noto Sans CJK SC"/>
        <family val="2"/>
      </rPr>
      <t xml:space="preserve">、信效度、引述等皆標為待作者補充</t>
    </r>
  </si>
  <si>
    <t xml:space="preserve">已完成項目數</t>
  </si>
  <si>
    <t xml:space="preserve">（不含範例列；在「結果」欄填入「通過」即計入）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</si>
</sst>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10"/>
      <color rgb="FF595959"/>
      <name val="Noto Sans CJK SC"/>
      <family val="2"/>
    </font>
    <font>
      <b val="true"/>
      <sz val="11"/>
      <color rgb="FFFFFFFF"/>
      <name val="Noto Sans CJK SC"/>
      <family val="2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i val="true"/>
      <sz val="10"/>
      <color rgb="FF59595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7.15" hidden="false" customHeight="false" outlineLevel="0" collapsed="false">
      <c r="A5" s="4" t="s">
        <v>9</v>
      </c>
      <c r="B5" s="5" t="n">
        <v>2</v>
      </c>
      <c r="C5" s="5" t="n">
        <v>1</v>
      </c>
      <c r="D5" s="6" t="str">
        <f aca="false">IF(B5&gt;=C5,"有效","無效：上限小於連續通過輪數")</f>
        <v>有效</v>
      </c>
      <c r="E5" s="6" t="n">
        <f aca="false">MAX(B5-1,0)</f>
        <v>1</v>
      </c>
      <c r="F5" s="6" t="n">
        <f aca="false">B5*$B$11+MAX(B5-1,0)*$B$12</f>
        <v>5</v>
      </c>
      <c r="G5" s="4" t="s">
        <v>10</v>
      </c>
    </row>
    <row r="6" customFormat="false" ht="32.8" hidden="false" customHeight="false" outlineLevel="0" collapsed="false">
      <c r="A6" s="4" t="s">
        <v>11</v>
      </c>
      <c r="B6" s="5" t="n">
        <v>4</v>
      </c>
      <c r="C6" s="5" t="n">
        <v>2</v>
      </c>
      <c r="D6" s="6" t="str">
        <f aca="false">IF(B6&gt;=C6,"有效","無效：上限小於連續通過輪數")</f>
        <v>有效</v>
      </c>
      <c r="E6" s="6" t="n">
        <f aca="false">MAX(B6-1,0)</f>
        <v>3</v>
      </c>
      <c r="F6" s="6" t="n">
        <f aca="false">B6*$B$11+MAX(B6-1,0)*$B$12</f>
        <v>11</v>
      </c>
      <c r="G6" s="4" t="s">
        <v>12</v>
      </c>
    </row>
    <row r="7" customFormat="false" ht="17.15" hidden="false" customHeight="false" outlineLevel="0" collapsed="false">
      <c r="A7" s="4" t="s">
        <v>13</v>
      </c>
      <c r="B7" s="5" t="n">
        <v>1</v>
      </c>
      <c r="C7" s="5" t="n">
        <v>1</v>
      </c>
      <c r="D7" s="6" t="str">
        <f aca="false">IF(B7&gt;=C7,"有效","無效：上限小於連續通過輪數")</f>
        <v>有效</v>
      </c>
      <c r="E7" s="6" t="n">
        <f aca="false">MAX(B7-1,0)</f>
        <v>0</v>
      </c>
      <c r="F7" s="6" t="n">
        <f aca="false">B7*$B$11+MAX(B7-1,0)*$B$12</f>
        <v>2</v>
      </c>
      <c r="G7" s="4" t="s">
        <v>14</v>
      </c>
    </row>
    <row r="8" customFormat="false" ht="17.15" hidden="false" customHeight="false" outlineLevel="0" collapsed="false">
      <c r="A8" s="7" t="s">
        <v>15</v>
      </c>
      <c r="B8" s="8" t="n">
        <v>3</v>
      </c>
      <c r="C8" s="8" t="n">
        <v>2</v>
      </c>
      <c r="D8" s="9" t="str">
        <f aca="false">IF(B8&gt;=C8,"有效","無效：上限小於連續通過輪數")</f>
        <v>有效</v>
      </c>
      <c r="E8" s="9" t="n">
        <f aca="false">MAX(B8-1,0)</f>
        <v>2</v>
      </c>
      <c r="F8" s="9" t="n">
        <f aca="false">B8*$B$11+MAX(B8-1,0)*$B$12</f>
        <v>8</v>
      </c>
      <c r="G8" s="7" t="s">
        <v>16</v>
      </c>
    </row>
    <row r="10" customFormat="false" ht="15" hidden="false" customHeight="false" outlineLevel="0" collapsed="false">
      <c r="A10" s="10" t="s">
        <v>17</v>
      </c>
    </row>
    <row r="11" customFormat="false" ht="32.8" hidden="false" customHeight="false" outlineLevel="0" collapsed="false">
      <c r="A11" s="4" t="s">
        <v>18</v>
      </c>
      <c r="B11" s="5" t="n">
        <v>2</v>
      </c>
      <c r="C11" s="4" t="s">
        <v>19</v>
      </c>
    </row>
    <row r="12" customFormat="false" ht="32.8" hidden="false" customHeight="false" outlineLevel="0" collapsed="false">
      <c r="A12" s="4" t="s">
        <v>20</v>
      </c>
      <c r="B12" s="5" t="n">
        <v>1</v>
      </c>
      <c r="C12" s="11" t="s">
        <v>21</v>
      </c>
    </row>
    <row r="14" customFormat="false" ht="42" hidden="false" customHeight="true" outlineLevel="0" collapsed="false">
      <c r="A14" s="12" t="s">
        <v>22</v>
      </c>
      <c r="B14" s="12"/>
      <c r="C14" s="12"/>
      <c r="D14" s="12"/>
      <c r="E14" s="12"/>
      <c r="F14" s="12"/>
      <c r="G14" s="12"/>
    </row>
  </sheetData>
  <mergeCells count="1"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21.6" hidden="false" customHeight="false" outlineLevel="0" collapsed="false">
      <c r="A1" s="1" t="s">
        <v>23</v>
      </c>
    </row>
    <row r="3" customFormat="false" ht="17.15" hidden="false" customHeight="false" outlineLevel="0" collapsed="false">
      <c r="A3" s="3" t="s">
        <v>24</v>
      </c>
      <c r="B3" s="3" t="s">
        <v>25</v>
      </c>
      <c r="C3" s="3" t="s">
        <v>26</v>
      </c>
    </row>
    <row r="4" customFormat="false" ht="32.8" hidden="false" customHeight="false" outlineLevel="0" collapsed="false">
      <c r="A4" s="4" t="s">
        <v>27</v>
      </c>
      <c r="B4" s="4" t="s">
        <v>28</v>
      </c>
      <c r="C4" s="4" t="s">
        <v>29</v>
      </c>
    </row>
    <row r="5" customFormat="false" ht="17.15" hidden="false" customHeight="false" outlineLevel="0" collapsed="false">
      <c r="A5" s="4" t="s">
        <v>30</v>
      </c>
      <c r="B5" s="4" t="s">
        <v>31</v>
      </c>
      <c r="C5" s="4" t="s">
        <v>32</v>
      </c>
    </row>
    <row r="6" customFormat="false" ht="17.15" hidden="false" customHeight="false" outlineLevel="0" collapsed="false">
      <c r="A6" s="4" t="s">
        <v>33</v>
      </c>
      <c r="B6" s="4" t="s">
        <v>34</v>
      </c>
      <c r="C6" s="4" t="s">
        <v>35</v>
      </c>
    </row>
    <row r="7" customFormat="false" ht="32.8" hidden="false" customHeight="false" outlineLevel="0" collapsed="false">
      <c r="A7" s="4" t="s">
        <v>36</v>
      </c>
      <c r="B7" s="4" t="s">
        <v>37</v>
      </c>
      <c r="C7" s="4" t="s">
        <v>38</v>
      </c>
    </row>
    <row r="8" customFormat="false" ht="17.15" hidden="false" customHeight="false" outlineLevel="0" collapsed="false">
      <c r="A8" s="4" t="s">
        <v>39</v>
      </c>
      <c r="B8" s="4" t="s">
        <v>40</v>
      </c>
      <c r="C8" s="4" t="s">
        <v>41</v>
      </c>
    </row>
    <row r="9" customFormat="false" ht="17.15" hidden="false" customHeight="false" outlineLevel="0" collapsed="false">
      <c r="A9" s="4" t="s">
        <v>42</v>
      </c>
      <c r="B9" s="4" t="s">
        <v>43</v>
      </c>
      <c r="C9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42"/>
  </cols>
  <sheetData>
    <row r="1" customFormat="false" ht="21.6" hidden="false" customHeight="false" outlineLevel="0" collapsed="false">
      <c r="A1" s="1" t="s">
        <v>45</v>
      </c>
    </row>
    <row r="3" customFormat="false" ht="17.15" hidden="false" customHeight="false" outlineLevel="0" collapsed="false">
      <c r="A3" s="13" t="s">
        <v>46</v>
      </c>
      <c r="B3" s="3" t="s">
        <v>47</v>
      </c>
      <c r="C3" s="3" t="s">
        <v>48</v>
      </c>
    </row>
    <row r="4" customFormat="false" ht="17.15" hidden="false" customHeight="false" outlineLevel="0" collapsed="false">
      <c r="A4" s="6" t="n">
        <v>1</v>
      </c>
      <c r="B4" s="4" t="s">
        <v>49</v>
      </c>
      <c r="C4" s="11" t="s">
        <v>50</v>
      </c>
    </row>
    <row r="5" customFormat="false" ht="17.15" hidden="false" customHeight="false" outlineLevel="0" collapsed="false">
      <c r="A5" s="6" t="n">
        <v>2</v>
      </c>
      <c r="B5" s="4" t="s">
        <v>51</v>
      </c>
      <c r="C5" s="11" t="s">
        <v>52</v>
      </c>
    </row>
    <row r="6" customFormat="false" ht="17.15" hidden="false" customHeight="false" outlineLevel="0" collapsed="false">
      <c r="A6" s="6" t="n">
        <v>3</v>
      </c>
      <c r="B6" s="4" t="s">
        <v>53</v>
      </c>
      <c r="C6" s="4" t="s">
        <v>54</v>
      </c>
    </row>
    <row r="7" customFormat="false" ht="17.15" hidden="false" customHeight="false" outlineLevel="0" collapsed="false">
      <c r="A7" s="6" t="n">
        <v>4</v>
      </c>
      <c r="B7" s="4" t="s">
        <v>55</v>
      </c>
      <c r="C7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6"/>
    <col collapsed="false" customWidth="true" hidden="false" outlineLevel="0" max="4" min="4" style="0" width="18"/>
    <col collapsed="false" customWidth="true" hidden="false" outlineLevel="0" max="5" min="5" style="0" width="34"/>
  </cols>
  <sheetData>
    <row r="1" customFormat="false" ht="21.6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7.15" hidden="false" customHeight="false" outlineLevel="0" collapsed="false">
      <c r="A4" s="13" t="s">
        <v>46</v>
      </c>
      <c r="B4" s="3" t="s">
        <v>59</v>
      </c>
      <c r="C4" s="3" t="s">
        <v>60</v>
      </c>
      <c r="D4" s="3" t="s">
        <v>61</v>
      </c>
      <c r="E4" s="3" t="s">
        <v>62</v>
      </c>
    </row>
    <row r="5" customFormat="false" ht="17.15" hidden="false" customHeight="false" outlineLevel="0" collapsed="false">
      <c r="A5" s="6" t="n">
        <v>1</v>
      </c>
      <c r="B5" s="4" t="s">
        <v>63</v>
      </c>
      <c r="C5" s="4" t="s">
        <v>64</v>
      </c>
      <c r="D5" s="14" t="s">
        <v>65</v>
      </c>
      <c r="E5" s="14" t="s">
        <v>66</v>
      </c>
    </row>
    <row r="6" customFormat="false" ht="17.15" hidden="false" customHeight="false" outlineLevel="0" collapsed="false">
      <c r="A6" s="6" t="n">
        <v>2</v>
      </c>
      <c r="B6" s="4" t="s">
        <v>67</v>
      </c>
      <c r="C6" s="4" t="s">
        <v>68</v>
      </c>
      <c r="D6" s="7"/>
      <c r="E6" s="7"/>
    </row>
    <row r="7" customFormat="false" ht="17.15" hidden="false" customHeight="false" outlineLevel="0" collapsed="false">
      <c r="A7" s="6" t="n">
        <v>3</v>
      </c>
      <c r="B7" s="4" t="s">
        <v>69</v>
      </c>
      <c r="C7" s="11" t="s">
        <v>70</v>
      </c>
      <c r="D7" s="7"/>
      <c r="E7" s="7"/>
    </row>
    <row r="8" customFormat="false" ht="17.15" hidden="false" customHeight="false" outlineLevel="0" collapsed="false">
      <c r="A8" s="6" t="n">
        <v>4</v>
      </c>
      <c r="B8" s="4" t="s">
        <v>71</v>
      </c>
      <c r="C8" s="4" t="s">
        <v>72</v>
      </c>
      <c r="D8" s="7"/>
      <c r="E8" s="7"/>
    </row>
    <row r="9" customFormat="false" ht="17.15" hidden="false" customHeight="false" outlineLevel="0" collapsed="false">
      <c r="A9" s="6" t="n">
        <v>5</v>
      </c>
      <c r="B9" s="4" t="s">
        <v>73</v>
      </c>
      <c r="C9" s="4" t="s">
        <v>74</v>
      </c>
      <c r="D9" s="7"/>
      <c r="E9" s="7"/>
    </row>
    <row r="10" customFormat="false" ht="17.15" hidden="false" customHeight="false" outlineLevel="0" collapsed="false">
      <c r="A10" s="6" t="n">
        <v>6</v>
      </c>
      <c r="B10" s="4" t="s">
        <v>75</v>
      </c>
      <c r="C10" s="11" t="s">
        <v>76</v>
      </c>
      <c r="D10" s="7"/>
      <c r="E10" s="7"/>
    </row>
    <row r="12" customFormat="false" ht="15" hidden="false" customHeight="false" outlineLevel="0" collapsed="false">
      <c r="A12" s="10" t="s">
        <v>77</v>
      </c>
      <c r="B12" s="15" t="n">
        <f aca="false">COUNTIF(D6:D10,"通過")</f>
        <v>0</v>
      </c>
      <c r="C12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2026-10-07T12:54:49Z</dcterms:created>
  <dc:creator>openpyxl</dc:creator>
  <dc:description/>
  <dc:language>en-US</dc:language>
  <cp:lastModifiedBy/>
  <dcterms:modified xsi:type="dcterms:W3CDTF">2026-10-07T12:54:49Z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